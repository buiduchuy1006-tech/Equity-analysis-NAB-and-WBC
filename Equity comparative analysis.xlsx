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ADMIN'S BITS &amp; PIECES\8.Resumé\Project\ROI cá nhân\"/>
    </mc:Choice>
  </mc:AlternateContent>
  <xr:revisionPtr revIDLastSave="0" documentId="13_ncr:1_{A9EB973A-B071-4AA5-B0F2-BB03AEA3A11F}" xr6:coauthVersionLast="47" xr6:coauthVersionMax="47" xr10:uidLastSave="{00000000-0000-0000-0000-000000000000}"/>
  <bookViews>
    <workbookView xWindow="-108" yWindow="-108" windowWidth="23256" windowHeight="12456" xr2:uid="{5425E890-7EA9-4DD0-A17C-FC75C16215C0}"/>
  </bookViews>
  <sheets>
    <sheet name="Dashboard" sheetId="8" r:id="rId1"/>
    <sheet name="Stock Value" sheetId="1" r:id="rId2"/>
    <sheet name="Pivot table 1" sheetId="9" r:id="rId3"/>
    <sheet name="Pivot table 2" sheetId="10" r:id="rId4"/>
    <sheet name="Pivot table 3" sheetId="11" r:id="rId5"/>
    <sheet name="Pivot table 4" sheetId="12" r:id="rId6"/>
  </sheets>
  <definedNames>
    <definedName name="_xlcn.WorksheetConnection_StockValueA13G201" hidden="1">'Stock Value'!$A$10:$G$15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" name="Range 1" connection="WorksheetConnection_Stock Value!$A$13:$G$2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3" i="1"/>
  <c r="H12" i="1"/>
  <c r="H11" i="1"/>
  <c r="H9" i="1"/>
  <c r="H8" i="1"/>
  <c r="H7" i="1"/>
  <c r="H6" i="1"/>
  <c r="H5" i="1"/>
  <c r="H4" i="1"/>
  <c r="H15" i="1"/>
  <c r="G15" i="1"/>
  <c r="F7" i="1"/>
  <c r="F8" i="1"/>
  <c r="F9" i="1"/>
  <c r="F5" i="1"/>
  <c r="E12" i="1"/>
  <c r="E11" i="1"/>
  <c r="E13" i="1"/>
  <c r="E14" i="1"/>
  <c r="E15" i="1"/>
  <c r="E10" i="1"/>
  <c r="E6" i="1"/>
  <c r="E5" i="1"/>
  <c r="E7" i="1"/>
  <c r="E8" i="1"/>
  <c r="E9" i="1"/>
  <c r="E4" i="1"/>
  <c r="G9" i="1" l="1"/>
  <c r="F14" i="1"/>
  <c r="G7" i="1"/>
  <c r="G8" i="1"/>
  <c r="G5" i="1"/>
  <c r="G6" i="1"/>
  <c r="F11" i="1"/>
  <c r="F6" i="1"/>
  <c r="G14" i="1"/>
  <c r="G12" i="1"/>
  <c r="F12" i="1"/>
  <c r="G13" i="1"/>
  <c r="G11" i="1"/>
  <c r="F13" i="1"/>
  <c r="F1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6C7C71-D249-4BF7-A660-5512A0B47D8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6A50DE1-9C62-413E-AA6F-D8D779F5F17F}" name="WorksheetConnection_Stock Value!$A$13:$G$20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StockValueA13G201"/>
        </x15:connection>
      </ext>
    </extLst>
  </connection>
</connections>
</file>

<file path=xl/sharedStrings.xml><?xml version="1.0" encoding="utf-8"?>
<sst xmlns="http://schemas.openxmlformats.org/spreadsheetml/2006/main" count="72" uniqueCount="23">
  <si>
    <t>Price per share</t>
  </si>
  <si>
    <t>Date</t>
  </si>
  <si>
    <t>Total value of shares</t>
  </si>
  <si>
    <t>Number of shares</t>
  </si>
  <si>
    <t>Net Profit</t>
  </si>
  <si>
    <t xml:space="preserve">Gain from previous year </t>
  </si>
  <si>
    <t>Row Labels</t>
  </si>
  <si>
    <t>Grand Total</t>
  </si>
  <si>
    <t>Column Labels</t>
  </si>
  <si>
    <t>NAB</t>
  </si>
  <si>
    <t>WBC</t>
  </si>
  <si>
    <t>2021</t>
  </si>
  <si>
    <t>2022</t>
  </si>
  <si>
    <t>2023</t>
  </si>
  <si>
    <t>2024</t>
  </si>
  <si>
    <t>2025</t>
  </si>
  <si>
    <t>2026</t>
  </si>
  <si>
    <t>Sum of Price per share</t>
  </si>
  <si>
    <t>Sum of Total value of shares</t>
  </si>
  <si>
    <t>Bank</t>
  </si>
  <si>
    <t>Sum of Net Profit</t>
  </si>
  <si>
    <t>ROI</t>
  </si>
  <si>
    <t>Sum of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</si>
</sst>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d/mmm/yyyy;@"/>
    <numFmt numFmtId="165" formatCode="&quot;$&quot;#,##0.00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2" borderId="1" xfId="0" applyFill="1" applyBorder="1" applyAlignment="1">
      <alignment vertical="center"/>
    </xf>
    <xf numFmtId="8" fontId="0" fillId="0" borderId="0" xfId="0" applyNumberFormat="1"/>
    <xf numFmtId="0" fontId="0" fillId="3" borderId="1" xfId="0" applyFill="1" applyBorder="1" applyAlignment="1">
      <alignment vertical="center"/>
    </xf>
    <xf numFmtId="165" fontId="0" fillId="3" borderId="1" xfId="1" applyNumberFormat="1" applyFont="1" applyFill="1" applyBorder="1"/>
    <xf numFmtId="0" fontId="0" fillId="3" borderId="1" xfId="0" applyFill="1" applyBorder="1"/>
    <xf numFmtId="164" fontId="0" fillId="3" borderId="1" xfId="0" applyNumberFormat="1" applyFill="1" applyBorder="1" applyAlignment="1">
      <alignment vertical="center"/>
    </xf>
    <xf numFmtId="165" fontId="0" fillId="3" borderId="1" xfId="0" applyNumberFormat="1" applyFill="1" applyBorder="1"/>
    <xf numFmtId="8" fontId="0" fillId="3" borderId="1" xfId="0" applyNumberFormat="1" applyFill="1" applyBorder="1"/>
    <xf numFmtId="0" fontId="0" fillId="4" borderId="2" xfId="0" applyFill="1" applyBorder="1" applyAlignment="1">
      <alignment vertical="center"/>
    </xf>
    <xf numFmtId="165" fontId="0" fillId="4" borderId="1" xfId="1" applyNumberFormat="1" applyFont="1" applyFill="1" applyBorder="1"/>
    <xf numFmtId="0" fontId="0" fillId="4" borderId="1" xfId="0" applyFill="1" applyBorder="1"/>
    <xf numFmtId="164" fontId="0" fillId="4" borderId="1" xfId="0" applyNumberFormat="1" applyFill="1" applyBorder="1" applyAlignment="1">
      <alignment vertical="center"/>
    </xf>
    <xf numFmtId="165" fontId="0" fillId="4" borderId="1" xfId="0" applyNumberFormat="1" applyFill="1" applyBorder="1"/>
    <xf numFmtId="8" fontId="0" fillId="4" borderId="1" xfId="0" applyNumberFormat="1" applyFill="1" applyBorder="1"/>
    <xf numFmtId="0" fontId="0" fillId="5" borderId="0" xfId="0" applyFill="1"/>
    <xf numFmtId="9" fontId="0" fillId="3" borderId="1" xfId="2" applyFont="1" applyFill="1" applyBorder="1"/>
    <xf numFmtId="9" fontId="0" fillId="4" borderId="1" xfId="2" applyFont="1" applyFill="1" applyBorder="1"/>
    <xf numFmtId="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115C04"/>
      <color rgb="FFE2F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ROI cá nhân.xlsx]Pivot table 1!PivotTable8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PRICE FLUCTUATION COMPARISON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1'!$B$3:$B$4</c:f>
              <c:strCache>
                <c:ptCount val="1"/>
                <c:pt idx="0">
                  <c:v>NAB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1'!$A$5:$A$11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1'!$B$5:$B$11</c:f>
              <c:numCache>
                <c:formatCode>"$"#,##0.00</c:formatCode>
                <c:ptCount val="6"/>
                <c:pt idx="0">
                  <c:v>25.93</c:v>
                </c:pt>
                <c:pt idx="1">
                  <c:v>31.21</c:v>
                </c:pt>
                <c:pt idx="2">
                  <c:v>28.28</c:v>
                </c:pt>
                <c:pt idx="3">
                  <c:v>34.76</c:v>
                </c:pt>
                <c:pt idx="4">
                  <c:v>33.18</c:v>
                </c:pt>
                <c:pt idx="5">
                  <c:v>47.06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E-4D9D-8367-E48A5D0333E7}"/>
            </c:ext>
          </c:extLst>
        </c:ser>
        <c:ser>
          <c:idx val="1"/>
          <c:order val="1"/>
          <c:tx>
            <c:strRef>
              <c:f>'Pivot table 1'!$C$3:$C$4</c:f>
              <c:strCache>
                <c:ptCount val="1"/>
                <c:pt idx="0">
                  <c:v>WBC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1'!$A$5:$A$11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1'!$C$5:$C$11</c:f>
              <c:numCache>
                <c:formatCode>"$"#,##0.00</c:formatCode>
                <c:ptCount val="6"/>
                <c:pt idx="0">
                  <c:v>24.52</c:v>
                </c:pt>
                <c:pt idx="1">
                  <c:v>23.66</c:v>
                </c:pt>
                <c:pt idx="2">
                  <c:v>21.24</c:v>
                </c:pt>
                <c:pt idx="3">
                  <c:v>26.47</c:v>
                </c:pt>
                <c:pt idx="4">
                  <c:v>30.74</c:v>
                </c:pt>
                <c:pt idx="5">
                  <c:v>40.92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FE-4D9D-8367-E48A5D033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314160"/>
        <c:axId val="927313680"/>
      </c:lineChart>
      <c:catAx>
        <c:axId val="92731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27313680"/>
        <c:crosses val="autoZero"/>
        <c:auto val="1"/>
        <c:lblAlgn val="ctr"/>
        <c:lblOffset val="100"/>
        <c:noMultiLvlLbl val="0"/>
      </c:catAx>
      <c:valAx>
        <c:axId val="927313680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2731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ROI cá nhân.xlsx]Pivot table 2!PivotTable8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VALUE OF SHARES COMPARISON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2'!$B$3:$B$4</c:f>
              <c:strCache>
                <c:ptCount val="1"/>
                <c:pt idx="0">
                  <c:v>NAB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2'!$B$5:$B$11</c:f>
              <c:numCache>
                <c:formatCode>"$"#,##0.00</c:formatCode>
                <c:ptCount val="6"/>
                <c:pt idx="0">
                  <c:v>51860</c:v>
                </c:pt>
                <c:pt idx="1">
                  <c:v>62420</c:v>
                </c:pt>
                <c:pt idx="2">
                  <c:v>56560</c:v>
                </c:pt>
                <c:pt idx="3">
                  <c:v>69520</c:v>
                </c:pt>
                <c:pt idx="4">
                  <c:v>66360</c:v>
                </c:pt>
                <c:pt idx="5">
                  <c:v>94120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35-41A5-AF74-B0A7BC702A60}"/>
            </c:ext>
          </c:extLst>
        </c:ser>
        <c:ser>
          <c:idx val="1"/>
          <c:order val="1"/>
          <c:tx>
            <c:strRef>
              <c:f>'Pivot table 2'!$C$3:$C$4</c:f>
              <c:strCache>
                <c:ptCount val="1"/>
                <c:pt idx="0">
                  <c:v>WBC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2'!$A$5:$A$11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2'!$C$5:$C$11</c:f>
              <c:numCache>
                <c:formatCode>"$"#,##0.00</c:formatCode>
                <c:ptCount val="6"/>
                <c:pt idx="0">
                  <c:v>49040</c:v>
                </c:pt>
                <c:pt idx="1">
                  <c:v>47320</c:v>
                </c:pt>
                <c:pt idx="2">
                  <c:v>42480</c:v>
                </c:pt>
                <c:pt idx="3">
                  <c:v>52940</c:v>
                </c:pt>
                <c:pt idx="4">
                  <c:v>61480</c:v>
                </c:pt>
                <c:pt idx="5">
                  <c:v>81840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35-41A5-AF74-B0A7BC702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887424"/>
        <c:axId val="813879264"/>
      </c:barChart>
      <c:catAx>
        <c:axId val="81388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813879264"/>
        <c:crosses val="autoZero"/>
        <c:auto val="1"/>
        <c:lblAlgn val="ctr"/>
        <c:lblOffset val="100"/>
        <c:noMultiLvlLbl val="0"/>
      </c:catAx>
      <c:valAx>
        <c:axId val="813879264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813887424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ROI cá nhân.xlsx]Pivot table 3!PivotTable8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PROFIT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3'!$B$3:$B$4</c:f>
              <c:strCache>
                <c:ptCount val="1"/>
                <c:pt idx="0">
                  <c:v>NAB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3'!$A$5:$A$11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3'!$B$5:$B$11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10560</c:v>
                </c:pt>
                <c:pt idx="2">
                  <c:v>4700</c:v>
                </c:pt>
                <c:pt idx="3">
                  <c:v>17660</c:v>
                </c:pt>
                <c:pt idx="4">
                  <c:v>14500</c:v>
                </c:pt>
                <c:pt idx="5">
                  <c:v>42260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3-438C-8B87-F13EB81629EF}"/>
            </c:ext>
          </c:extLst>
        </c:ser>
        <c:ser>
          <c:idx val="1"/>
          <c:order val="1"/>
          <c:tx>
            <c:strRef>
              <c:f>'Pivot table 3'!$C$3:$C$4</c:f>
              <c:strCache>
                <c:ptCount val="1"/>
                <c:pt idx="0">
                  <c:v>WBC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3'!$A$5:$A$11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3'!$C$5:$C$11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-1720</c:v>
                </c:pt>
                <c:pt idx="2">
                  <c:v>-6560</c:v>
                </c:pt>
                <c:pt idx="3">
                  <c:v>3900</c:v>
                </c:pt>
                <c:pt idx="4">
                  <c:v>12440</c:v>
                </c:pt>
                <c:pt idx="5">
                  <c:v>32800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3-438C-8B87-F13EB8162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887424"/>
        <c:axId val="813879264"/>
      </c:barChart>
      <c:catAx>
        <c:axId val="81388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813879264"/>
        <c:crosses val="autoZero"/>
        <c:auto val="1"/>
        <c:lblAlgn val="ctr"/>
        <c:lblOffset val="100"/>
        <c:noMultiLvlLbl val="0"/>
      </c:catAx>
      <c:valAx>
        <c:axId val="813879264"/>
        <c:scaling>
          <c:orientation val="minMax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81388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ROI cá nhân.xlsx]Pivot table 4!PivotTable11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</a:t>
            </a:r>
            <a:r>
              <a:rPr lang="en-US" baseline="0"/>
              <a:t> OVER THE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4'!$B$3:$B$4</c:f>
              <c:strCache>
                <c:ptCount val="1"/>
                <c:pt idx="0">
                  <c:v>NAB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4'!$A$5:$A$11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4'!$B$5:$B$11</c:f>
              <c:numCache>
                <c:formatCode>0%</c:formatCode>
                <c:ptCount val="6"/>
                <c:pt idx="0">
                  <c:v>0</c:v>
                </c:pt>
                <c:pt idx="1">
                  <c:v>0.20362514462013112</c:v>
                </c:pt>
                <c:pt idx="2">
                  <c:v>9.0628615503278054E-2</c:v>
                </c:pt>
                <c:pt idx="3">
                  <c:v>0.34053220208252988</c:v>
                </c:pt>
                <c:pt idx="4">
                  <c:v>0.27959892016968763</c:v>
                </c:pt>
                <c:pt idx="5">
                  <c:v>0.81488623216351719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6B-4447-A55A-93B5C8D3821A}"/>
            </c:ext>
          </c:extLst>
        </c:ser>
        <c:ser>
          <c:idx val="1"/>
          <c:order val="1"/>
          <c:tx>
            <c:strRef>
              <c:f>'Pivot table 4'!$C$3:$C$4</c:f>
              <c:strCache>
                <c:ptCount val="1"/>
                <c:pt idx="0">
                  <c:v>WBC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4'!$A$5:$A$11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4'!$C$5:$C$11</c:f>
              <c:numCache>
                <c:formatCode>0%</c:formatCode>
                <c:ptCount val="6"/>
                <c:pt idx="0">
                  <c:v>0</c:v>
                </c:pt>
                <c:pt idx="1">
                  <c:v>-3.507340946166395E-2</c:v>
                </c:pt>
                <c:pt idx="2">
                  <c:v>-0.13376835236541598</c:v>
                </c:pt>
                <c:pt idx="3">
                  <c:v>7.952691680261012E-2</c:v>
                </c:pt>
                <c:pt idx="4">
                  <c:v>0.2536704730831974</c:v>
                </c:pt>
                <c:pt idx="5">
                  <c:v>0.41517128874388254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6B-4447-A55A-93B5C8D38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312240"/>
        <c:axId val="927325200"/>
      </c:lineChart>
      <c:catAx>
        <c:axId val="9273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27325200"/>
        <c:crosses val="autoZero"/>
        <c:auto val="1"/>
        <c:lblAlgn val="ctr"/>
        <c:lblOffset val="100"/>
        <c:noMultiLvlLbl val="0"/>
      </c:catAx>
      <c:valAx>
        <c:axId val="92732520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2731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ROI cá nhân.xlsx]Pivot table 2!PivotTable8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VALUE OF</a:t>
            </a:r>
            <a:r>
              <a:rPr lang="en-US" baseline="0"/>
              <a:t> SHARES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2'!$B$3:$B$4</c:f>
              <c:strCache>
                <c:ptCount val="1"/>
                <c:pt idx="0">
                  <c:v>NAB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2'!$B$5:$B$11</c:f>
              <c:numCache>
                <c:formatCode>"$"#,##0.00</c:formatCode>
                <c:ptCount val="6"/>
                <c:pt idx="0">
                  <c:v>51860</c:v>
                </c:pt>
                <c:pt idx="1">
                  <c:v>62420</c:v>
                </c:pt>
                <c:pt idx="2">
                  <c:v>56560</c:v>
                </c:pt>
                <c:pt idx="3">
                  <c:v>69520</c:v>
                </c:pt>
                <c:pt idx="4">
                  <c:v>66360</c:v>
                </c:pt>
                <c:pt idx="5">
                  <c:v>94120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B-4620-8CB7-478DE4AC0763}"/>
            </c:ext>
          </c:extLst>
        </c:ser>
        <c:ser>
          <c:idx val="1"/>
          <c:order val="1"/>
          <c:tx>
            <c:strRef>
              <c:f>'Pivot table 2'!$C$3:$C$4</c:f>
              <c:strCache>
                <c:ptCount val="1"/>
                <c:pt idx="0">
                  <c:v>WBC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2'!$A$5:$A$11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2'!$C$5:$C$11</c:f>
              <c:numCache>
                <c:formatCode>"$"#,##0.00</c:formatCode>
                <c:ptCount val="6"/>
                <c:pt idx="0">
                  <c:v>49040</c:v>
                </c:pt>
                <c:pt idx="1">
                  <c:v>47320</c:v>
                </c:pt>
                <c:pt idx="2">
                  <c:v>42480</c:v>
                </c:pt>
                <c:pt idx="3">
                  <c:v>52940</c:v>
                </c:pt>
                <c:pt idx="4">
                  <c:v>61480</c:v>
                </c:pt>
                <c:pt idx="5">
                  <c:v>81840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4B-4620-8CB7-478DE4AC0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853824"/>
        <c:axId val="813854304"/>
      </c:barChart>
      <c:catAx>
        <c:axId val="81385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813854304"/>
        <c:crosses val="autoZero"/>
        <c:auto val="1"/>
        <c:lblAlgn val="ctr"/>
        <c:lblOffset val="100"/>
        <c:noMultiLvlLbl val="0"/>
      </c:catAx>
      <c:valAx>
        <c:axId val="81385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81385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ROI cá nhân.xlsx]Pivot table 3!PivotTable8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PROFIT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3'!$B$3:$B$4</c:f>
              <c:strCache>
                <c:ptCount val="1"/>
                <c:pt idx="0">
                  <c:v>NAB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3'!$A$5:$A$11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3'!$B$5:$B$11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10560</c:v>
                </c:pt>
                <c:pt idx="2">
                  <c:v>4700</c:v>
                </c:pt>
                <c:pt idx="3">
                  <c:v>17660</c:v>
                </c:pt>
                <c:pt idx="4">
                  <c:v>14500</c:v>
                </c:pt>
                <c:pt idx="5">
                  <c:v>42260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C-4C8E-BBE4-1126606CFC9E}"/>
            </c:ext>
          </c:extLst>
        </c:ser>
        <c:ser>
          <c:idx val="1"/>
          <c:order val="1"/>
          <c:tx>
            <c:strRef>
              <c:f>'Pivot table 3'!$C$3:$C$4</c:f>
              <c:strCache>
                <c:ptCount val="1"/>
                <c:pt idx="0">
                  <c:v>WBC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 3'!$A$5:$A$11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3'!$C$5:$C$11</c:f>
              <c:numCache>
                <c:formatCode>"$"#,##0.00_);[Red]\("$"#,##0.00\)</c:formatCode>
                <c:ptCount val="6"/>
                <c:pt idx="0">
                  <c:v>0</c:v>
                </c:pt>
                <c:pt idx="1">
                  <c:v>-1720</c:v>
                </c:pt>
                <c:pt idx="2">
                  <c:v>-6560</c:v>
                </c:pt>
                <c:pt idx="3">
                  <c:v>3900</c:v>
                </c:pt>
                <c:pt idx="4">
                  <c:v>12440</c:v>
                </c:pt>
                <c:pt idx="5">
                  <c:v>32800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C-4C8E-BBE4-1126606CF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887424"/>
        <c:axId val="813879264"/>
      </c:barChart>
      <c:catAx>
        <c:axId val="81388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813879264"/>
        <c:crosses val="autoZero"/>
        <c:auto val="1"/>
        <c:lblAlgn val="ctr"/>
        <c:lblOffset val="100"/>
        <c:noMultiLvlLbl val="0"/>
      </c:catAx>
      <c:valAx>
        <c:axId val="81387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81388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ROI cá nhân.xlsx]Pivot table 4!PivotTable11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</a:t>
            </a:r>
            <a:r>
              <a:rPr lang="en-US" baseline="0"/>
              <a:t> OVER THE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4'!$B$3:$B$4</c:f>
              <c:strCache>
                <c:ptCount val="1"/>
                <c:pt idx="0">
                  <c:v>NAB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 4'!$A$5:$A$11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4'!$B$5:$B$11</c:f>
              <c:numCache>
                <c:formatCode>0%</c:formatCode>
                <c:ptCount val="6"/>
                <c:pt idx="0">
                  <c:v>0</c:v>
                </c:pt>
                <c:pt idx="1">
                  <c:v>0.20362514462013112</c:v>
                </c:pt>
                <c:pt idx="2">
                  <c:v>9.0628615503278054E-2</c:v>
                </c:pt>
                <c:pt idx="3">
                  <c:v>0.34053220208252988</c:v>
                </c:pt>
                <c:pt idx="4">
                  <c:v>0.27959892016968763</c:v>
                </c:pt>
                <c:pt idx="5">
                  <c:v>0.81488623216351719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D5-41AC-A109-311502D1D1BB}"/>
            </c:ext>
          </c:extLst>
        </c:ser>
        <c:ser>
          <c:idx val="1"/>
          <c:order val="1"/>
          <c:tx>
            <c:strRef>
              <c:f>'Pivot table 4'!$C$3:$C$4</c:f>
              <c:strCache>
                <c:ptCount val="1"/>
                <c:pt idx="0">
                  <c:v>WBC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 4'!$A$5:$A$11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'Pivot table 4'!$C$5:$C$11</c:f>
              <c:numCache>
                <c:formatCode>0%</c:formatCode>
                <c:ptCount val="6"/>
                <c:pt idx="0">
                  <c:v>0</c:v>
                </c:pt>
                <c:pt idx="1">
                  <c:v>-3.507340946166395E-2</c:v>
                </c:pt>
                <c:pt idx="2">
                  <c:v>-0.13376835236541598</c:v>
                </c:pt>
                <c:pt idx="3">
                  <c:v>7.952691680261012E-2</c:v>
                </c:pt>
                <c:pt idx="4">
                  <c:v>0.2536704730831974</c:v>
                </c:pt>
                <c:pt idx="5">
                  <c:v>0.41517128874388254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D5-41AC-A109-311502D1D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312240"/>
        <c:axId val="927325200"/>
      </c:lineChart>
      <c:catAx>
        <c:axId val="9273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27325200"/>
        <c:crosses val="autoZero"/>
        <c:auto val="1"/>
        <c:lblAlgn val="ctr"/>
        <c:lblOffset val="100"/>
        <c:noMultiLvlLbl val="0"/>
      </c:catAx>
      <c:valAx>
        <c:axId val="92732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92731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21</xdr:row>
      <xdr:rowOff>53340</xdr:rowOff>
    </xdr:from>
    <xdr:to>
      <xdr:col>18</xdr:col>
      <xdr:colOff>358140</xdr:colOff>
      <xdr:row>39</xdr:row>
      <xdr:rowOff>152400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C246744B-2BE4-4777-A48B-707B5BF07A3E}"/>
            </a:ext>
          </a:extLst>
        </xdr:cNvPr>
        <xdr:cNvSpPr/>
      </xdr:nvSpPr>
      <xdr:spPr>
        <a:xfrm>
          <a:off x="7086600" y="3733800"/>
          <a:ext cx="5341620" cy="3253740"/>
        </a:xfrm>
        <a:prstGeom prst="roundRect">
          <a:avLst/>
        </a:prstGeom>
        <a:solidFill>
          <a:schemeClr val="bg1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0</xdr:col>
      <xdr:colOff>396240</xdr:colOff>
      <xdr:row>21</xdr:row>
      <xdr:rowOff>99060</xdr:rowOff>
    </xdr:from>
    <xdr:to>
      <xdr:col>8</xdr:col>
      <xdr:colOff>251460</xdr:colOff>
      <xdr:row>39</xdr:row>
      <xdr:rowOff>144780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B320DAD3-ED7A-44B9-97C4-F950F7FA4E28}"/>
            </a:ext>
          </a:extLst>
        </xdr:cNvPr>
        <xdr:cNvSpPr/>
      </xdr:nvSpPr>
      <xdr:spPr>
        <a:xfrm>
          <a:off x="396240" y="3779520"/>
          <a:ext cx="5219700" cy="3200400"/>
        </a:xfrm>
        <a:prstGeom prst="roundRect">
          <a:avLst/>
        </a:prstGeom>
        <a:solidFill>
          <a:schemeClr val="bg1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10</xdr:col>
      <xdr:colOff>411480</xdr:colOff>
      <xdr:row>0</xdr:row>
      <xdr:rowOff>121920</xdr:rowOff>
    </xdr:from>
    <xdr:to>
      <xdr:col>18</xdr:col>
      <xdr:colOff>266700</xdr:colOff>
      <xdr:row>18</xdr:row>
      <xdr:rowOff>167640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F7DE68C-56C5-44DB-96FC-0F35759514C2}"/>
            </a:ext>
          </a:extLst>
        </xdr:cNvPr>
        <xdr:cNvSpPr/>
      </xdr:nvSpPr>
      <xdr:spPr>
        <a:xfrm>
          <a:off x="7117080" y="121920"/>
          <a:ext cx="5219700" cy="3200400"/>
        </a:xfrm>
        <a:prstGeom prst="roundRect">
          <a:avLst/>
        </a:prstGeom>
        <a:solidFill>
          <a:schemeClr val="bg1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0</xdr:col>
      <xdr:colOff>441960</xdr:colOff>
      <xdr:row>0</xdr:row>
      <xdr:rowOff>114300</xdr:rowOff>
    </xdr:from>
    <xdr:to>
      <xdr:col>8</xdr:col>
      <xdr:colOff>297180</xdr:colOff>
      <xdr:row>18</xdr:row>
      <xdr:rowOff>160020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60CC06BD-DFDE-FDAD-43FB-CC74662FE187}"/>
            </a:ext>
          </a:extLst>
        </xdr:cNvPr>
        <xdr:cNvSpPr/>
      </xdr:nvSpPr>
      <xdr:spPr>
        <a:xfrm>
          <a:off x="441960" y="114300"/>
          <a:ext cx="5219700" cy="3200400"/>
        </a:xfrm>
        <a:prstGeom prst="roundRect">
          <a:avLst/>
        </a:prstGeom>
        <a:solidFill>
          <a:schemeClr val="bg1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1</xdr:col>
      <xdr:colOff>7620</xdr:colOff>
      <xdr:row>1</xdr:row>
      <xdr:rowOff>129540</xdr:rowOff>
    </xdr:from>
    <xdr:to>
      <xdr:col>8</xdr:col>
      <xdr:colOff>76200</xdr:colOff>
      <xdr:row>17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5D9F53-99DD-4D3F-AA08-8CEB2B35C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624840</xdr:colOff>
      <xdr:row>1</xdr:row>
      <xdr:rowOff>83820</xdr:rowOff>
    </xdr:from>
    <xdr:to>
      <xdr:col>17</xdr:col>
      <xdr:colOff>662940</xdr:colOff>
      <xdr:row>17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3292B0-AD4D-4510-B416-6B5A1B7F1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38100</xdr:rowOff>
    </xdr:from>
    <xdr:to>
      <xdr:col>7</xdr:col>
      <xdr:colOff>655320</xdr:colOff>
      <xdr:row>39</xdr:row>
      <xdr:rowOff>22860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FF192C-7689-4CFB-99EF-A6F6BEB58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662940</xdr:colOff>
      <xdr:row>22</xdr:row>
      <xdr:rowOff>99060</xdr:rowOff>
    </xdr:from>
    <xdr:to>
      <xdr:col>18</xdr:col>
      <xdr:colOff>152400</xdr:colOff>
      <xdr:row>38</xdr:row>
      <xdr:rowOff>99060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760D6D0-50AA-42C3-A118-26B1CE6794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392430</xdr:colOff>
      <xdr:row>1</xdr:row>
      <xdr:rowOff>106680</xdr:rowOff>
    </xdr:from>
    <xdr:to>
      <xdr:col>6</xdr:col>
      <xdr:colOff>979170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53E291-7965-44F2-5895-77341F97D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2</xdr:row>
      <xdr:rowOff>160020</xdr:rowOff>
    </xdr:from>
    <xdr:to>
      <xdr:col>6</xdr:col>
      <xdr:colOff>1215390</xdr:colOff>
      <xdr:row>18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4F76FD-C44D-CBD4-E3E9-006355AB1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</xdr:row>
      <xdr:rowOff>45720</xdr:rowOff>
    </xdr:from>
    <xdr:to>
      <xdr:col>11</xdr:col>
      <xdr:colOff>643890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6C002E-A807-9146-EA37-DC110C654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vin Bui" refreshedDate="46098.412345254626" createdVersion="8" refreshedVersion="8" minRefreshableVersion="3" recordCount="12" xr:uid="{6B9CC364-EBDF-4435-AFB8-211D238BDD68}">
  <cacheSource type="worksheet">
    <worksheetSource ref="A3:G15" sheet="Stock Value"/>
  </cacheSource>
  <cacheFields count="10">
    <cacheField name="Bank" numFmtId="0">
      <sharedItems count="2">
        <s v="NAB"/>
        <s v="WBC"/>
      </sharedItems>
    </cacheField>
    <cacheField name="Price per share" numFmtId="165">
      <sharedItems containsSemiMixedTypes="0" containsString="0" containsNumber="1" minValue="21.24" maxValue="47.06"/>
    </cacheField>
    <cacheField name="Number of shares" numFmtId="0">
      <sharedItems containsSemiMixedTypes="0" containsString="0" containsNumber="1" containsInteger="1" minValue="2000" maxValue="2000"/>
    </cacheField>
    <cacheField name="Date" numFmtId="164">
      <sharedItems containsSemiMixedTypes="0" containsNonDate="0" containsDate="1" containsString="0" minDate="2021-03-15T00:00:00" maxDate="2026-03-17T00:00:00" count="6">
        <d v="2021-03-15T00:00:00"/>
        <d v="2022-03-14T00:00:00"/>
        <d v="2023-03-13T00:00:00"/>
        <d v="2024-03-18T00:00:00"/>
        <d v="2025-03-17T00:00:00"/>
        <d v="2026-03-16T00:00:00"/>
      </sharedItems>
      <fieldGroup par="9"/>
    </cacheField>
    <cacheField name="Total value of shares" numFmtId="165">
      <sharedItems containsSemiMixedTypes="0" containsString="0" containsNumber="1" containsInteger="1" minValue="42480" maxValue="94120"/>
    </cacheField>
    <cacheField name="Gain from previous year " numFmtId="8">
      <sharedItems containsSemiMixedTypes="0" containsString="0" containsNumber="1" containsInteger="1" minValue="-5860" maxValue="27760"/>
    </cacheField>
    <cacheField name="Net Profit" numFmtId="8">
      <sharedItems containsSemiMixedTypes="0" containsString="0" containsNumber="1" containsInteger="1" minValue="-6560" maxValue="42260"/>
    </cacheField>
    <cacheField name="Months (Date)" numFmtId="0" databaseField="0">
      <fieldGroup base="3">
        <rangePr groupBy="months" startDate="2021-03-15T00:00:00" endDate="2026-03-17T00:00:00"/>
        <groupItems count="14">
          <s v="&lt;15-03-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-03-26"/>
        </groupItems>
      </fieldGroup>
    </cacheField>
    <cacheField name="Quarters (Date)" numFmtId="0" databaseField="0">
      <fieldGroup base="3">
        <rangePr groupBy="quarters" startDate="2021-03-15T00:00:00" endDate="2026-03-17T00:00:00"/>
        <groupItems count="6">
          <s v="&lt;15-03-21"/>
          <s v="Qtr1"/>
          <s v="Qtr2"/>
          <s v="Qtr3"/>
          <s v="Qtr4"/>
          <s v="&gt;17-03-26"/>
        </groupItems>
      </fieldGroup>
    </cacheField>
    <cacheField name="Years (Date)" numFmtId="0" databaseField="0">
      <fieldGroup base="3">
        <rangePr groupBy="years" startDate="2021-03-15T00:00:00" endDate="2026-03-17T00:00:00"/>
        <groupItems count="8">
          <s v="&lt;15-03-21"/>
          <s v="2021"/>
          <s v="2022"/>
          <s v="2023"/>
          <s v="2024"/>
          <s v="2025"/>
          <s v="2026"/>
          <s v="&gt;17-03-26"/>
        </groupItems>
      </fieldGroup>
    </cacheField>
  </cacheFields>
  <extLst>
    <ext xmlns:x14="http://schemas.microsoft.com/office/spreadsheetml/2009/9/main" uri="{725AE2AE-9491-48be-B2B4-4EB974FC3084}">
      <x14:pivotCacheDefinition pivotCacheId="162123616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vin Bui" refreshedDate="46098.432976504628" createdVersion="8" refreshedVersion="8" minRefreshableVersion="3" recordCount="12" xr:uid="{C201F161-CE45-4544-9E26-54E584962106}">
  <cacheSource type="worksheet">
    <worksheetSource ref="A3:H15" sheet="Stock Value"/>
  </cacheSource>
  <cacheFields count="11">
    <cacheField name="Bank" numFmtId="0">
      <sharedItems count="2">
        <s v="NAB"/>
        <s v="WBC"/>
      </sharedItems>
    </cacheField>
    <cacheField name="Price per share" numFmtId="165">
      <sharedItems containsSemiMixedTypes="0" containsString="0" containsNumber="1" minValue="21.24" maxValue="47.06"/>
    </cacheField>
    <cacheField name="Number of shares" numFmtId="0">
      <sharedItems containsSemiMixedTypes="0" containsString="0" containsNumber="1" containsInteger="1" minValue="2000" maxValue="2000"/>
    </cacheField>
    <cacheField name="Date" numFmtId="164">
      <sharedItems containsSemiMixedTypes="0" containsNonDate="0" containsDate="1" containsString="0" minDate="2021-03-15T00:00:00" maxDate="2026-03-17T00:00:00" count="6">
        <d v="2021-03-15T00:00:00"/>
        <d v="2022-03-14T00:00:00"/>
        <d v="2023-03-13T00:00:00"/>
        <d v="2024-03-18T00:00:00"/>
        <d v="2025-03-17T00:00:00"/>
        <d v="2026-03-16T00:00:00"/>
      </sharedItems>
      <fieldGroup par="10"/>
    </cacheField>
    <cacheField name="Total value of shares" numFmtId="165">
      <sharedItems containsSemiMixedTypes="0" containsString="0" containsNumber="1" containsInteger="1" minValue="42480" maxValue="94120"/>
    </cacheField>
    <cacheField name="Gain from previous year " numFmtId="8">
      <sharedItems containsSemiMixedTypes="0" containsString="0" containsNumber="1" containsInteger="1" minValue="-5860" maxValue="27760"/>
    </cacheField>
    <cacheField name="Net Profit" numFmtId="8">
      <sharedItems containsSemiMixedTypes="0" containsString="0" containsNumber="1" containsInteger="1" minValue="-6560" maxValue="42260"/>
    </cacheField>
    <cacheField name="ROI" numFmtId="9">
      <sharedItems containsSemiMixedTypes="0" containsString="0" containsNumber="1" minValue="-0.13376835236541598" maxValue="0.81488623216351719"/>
    </cacheField>
    <cacheField name="Months (Date)" numFmtId="0" databaseField="0">
      <fieldGroup base="3">
        <rangePr groupBy="months" startDate="2021-03-15T00:00:00" endDate="2026-03-17T00:00:00"/>
        <groupItems count="14">
          <s v="&lt;15-03-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7-03-26"/>
        </groupItems>
      </fieldGroup>
    </cacheField>
    <cacheField name="Quarters (Date)" numFmtId="0" databaseField="0">
      <fieldGroup base="3">
        <rangePr groupBy="quarters" startDate="2021-03-15T00:00:00" endDate="2026-03-17T00:00:00"/>
        <groupItems count="6">
          <s v="&lt;15-03-21"/>
          <s v="Qtr1"/>
          <s v="Qtr2"/>
          <s v="Qtr3"/>
          <s v="Qtr4"/>
          <s v="&gt;17-03-26"/>
        </groupItems>
      </fieldGroup>
    </cacheField>
    <cacheField name="Years (Date)" numFmtId="0" databaseField="0">
      <fieldGroup base="3">
        <rangePr groupBy="years" startDate="2021-03-15T00:00:00" endDate="2026-03-17T00:00:00"/>
        <groupItems count="8">
          <s v="&lt;15-03-21"/>
          <s v="2021"/>
          <s v="2022"/>
          <s v="2023"/>
          <s v="2024"/>
          <s v="2025"/>
          <s v="2026"/>
          <s v="&gt;17-03-26"/>
        </groupItems>
      </fieldGroup>
    </cacheField>
  </cacheFields>
  <extLst>
    <ext xmlns:x14="http://schemas.microsoft.com/office/spreadsheetml/2009/9/main" uri="{725AE2AE-9491-48be-B2B4-4EB974FC3084}">
      <x14:pivotCacheDefinition pivotCacheId="20161291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5.93"/>
    <n v="2000"/>
    <x v="0"/>
    <n v="51860"/>
    <n v="0"/>
    <n v="0"/>
  </r>
  <r>
    <x v="0"/>
    <n v="31.21"/>
    <n v="2000"/>
    <x v="1"/>
    <n v="62420"/>
    <n v="10560"/>
    <n v="10560"/>
  </r>
  <r>
    <x v="0"/>
    <n v="28.28"/>
    <n v="2000"/>
    <x v="2"/>
    <n v="56560"/>
    <n v="-5860"/>
    <n v="4700"/>
  </r>
  <r>
    <x v="0"/>
    <n v="34.76"/>
    <n v="2000"/>
    <x v="3"/>
    <n v="69520"/>
    <n v="12960"/>
    <n v="17660"/>
  </r>
  <r>
    <x v="0"/>
    <n v="33.18"/>
    <n v="2000"/>
    <x v="4"/>
    <n v="66360"/>
    <n v="-3160"/>
    <n v="14500"/>
  </r>
  <r>
    <x v="0"/>
    <n v="47.06"/>
    <n v="2000"/>
    <x v="5"/>
    <n v="94120"/>
    <n v="27760"/>
    <n v="42260"/>
  </r>
  <r>
    <x v="1"/>
    <n v="24.52"/>
    <n v="2000"/>
    <x v="0"/>
    <n v="49040"/>
    <n v="0"/>
    <n v="0"/>
  </r>
  <r>
    <x v="1"/>
    <n v="23.66"/>
    <n v="2000"/>
    <x v="1"/>
    <n v="47320"/>
    <n v="-1720"/>
    <n v="-1720"/>
  </r>
  <r>
    <x v="1"/>
    <n v="21.24"/>
    <n v="2000"/>
    <x v="2"/>
    <n v="42480"/>
    <n v="-4840"/>
    <n v="-6560"/>
  </r>
  <r>
    <x v="1"/>
    <n v="26.47"/>
    <n v="2000"/>
    <x v="3"/>
    <n v="52940"/>
    <n v="10460"/>
    <n v="3900"/>
  </r>
  <r>
    <x v="1"/>
    <n v="30.74"/>
    <n v="2000"/>
    <x v="4"/>
    <n v="61480"/>
    <n v="8540"/>
    <n v="12440"/>
  </r>
  <r>
    <x v="1"/>
    <n v="40.92"/>
    <n v="2000"/>
    <x v="5"/>
    <n v="81840"/>
    <n v="20360"/>
    <n v="32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25.93"/>
    <n v="2000"/>
    <x v="0"/>
    <n v="51860"/>
    <n v="0"/>
    <n v="0"/>
    <n v="0"/>
  </r>
  <r>
    <x v="0"/>
    <n v="31.21"/>
    <n v="2000"/>
    <x v="1"/>
    <n v="62420"/>
    <n v="10560"/>
    <n v="10560"/>
    <n v="0.20362514462013112"/>
  </r>
  <r>
    <x v="0"/>
    <n v="28.28"/>
    <n v="2000"/>
    <x v="2"/>
    <n v="56560"/>
    <n v="-5860"/>
    <n v="4700"/>
    <n v="9.0628615503278054E-2"/>
  </r>
  <r>
    <x v="0"/>
    <n v="34.76"/>
    <n v="2000"/>
    <x v="3"/>
    <n v="69520"/>
    <n v="12960"/>
    <n v="17660"/>
    <n v="0.34053220208252988"/>
  </r>
  <r>
    <x v="0"/>
    <n v="33.18"/>
    <n v="2000"/>
    <x v="4"/>
    <n v="66360"/>
    <n v="-3160"/>
    <n v="14500"/>
    <n v="0.27959892016968763"/>
  </r>
  <r>
    <x v="0"/>
    <n v="47.06"/>
    <n v="2000"/>
    <x v="5"/>
    <n v="94120"/>
    <n v="27760"/>
    <n v="42260"/>
    <n v="0.81488623216351719"/>
  </r>
  <r>
    <x v="1"/>
    <n v="24.52"/>
    <n v="2000"/>
    <x v="0"/>
    <n v="49040"/>
    <n v="0"/>
    <n v="0"/>
    <n v="0"/>
  </r>
  <r>
    <x v="1"/>
    <n v="23.66"/>
    <n v="2000"/>
    <x v="1"/>
    <n v="47320"/>
    <n v="-1720"/>
    <n v="-1720"/>
    <n v="-3.507340946166395E-2"/>
  </r>
  <r>
    <x v="1"/>
    <n v="21.24"/>
    <n v="2000"/>
    <x v="2"/>
    <n v="42480"/>
    <n v="-4840"/>
    <n v="-6560"/>
    <n v="-0.13376835236541598"/>
  </r>
  <r>
    <x v="1"/>
    <n v="26.47"/>
    <n v="2000"/>
    <x v="3"/>
    <n v="52940"/>
    <n v="10460"/>
    <n v="3900"/>
    <n v="7.952691680261012E-2"/>
  </r>
  <r>
    <x v="1"/>
    <n v="30.74"/>
    <n v="2000"/>
    <x v="4"/>
    <n v="61480"/>
    <n v="8540"/>
    <n v="12440"/>
    <n v="0.2536704730831974"/>
  </r>
  <r>
    <x v="1"/>
    <n v="40.92"/>
    <n v="2000"/>
    <x v="5"/>
    <n v="81840"/>
    <n v="20360"/>
    <n v="32800"/>
    <n v="0.415171288743882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41C3FE-CA59-4BCB-B98F-6EA61380CF4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11" firstHeaderRow="1" firstDataRow="2" firstDataCol="1"/>
  <pivotFields count="10">
    <pivotField axis="axisCol" showAll="0">
      <items count="3">
        <item x="0"/>
        <item x="1"/>
        <item t="default"/>
      </items>
    </pivotField>
    <pivotField dataField="1" numFmtId="165"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numFmtId="165" showAll="0"/>
    <pivotField numFmtId="8" showAll="0"/>
    <pivotField numFmtId="8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9">
        <item h="1" sd="0" x="0"/>
        <item sd="0" x="1"/>
        <item sd="0" x="2"/>
        <item sd="0" x="3"/>
        <item sd="0" x="4"/>
        <item sd="0" x="5"/>
        <item sd="0" x="6"/>
        <item h="1" sd="0" x="7"/>
        <item t="default" sd="0"/>
      </items>
    </pivotField>
  </pivotFields>
  <rowFields count="1"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Price per share" fld="1" baseField="0" baseItem="0" numFmtId="165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36FC3-9467-468A-A6CA-23554398184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11" firstHeaderRow="1" firstDataRow="2" firstDataCol="1"/>
  <pivotFields count="10">
    <pivotField axis="axisCol" showAll="0">
      <items count="3">
        <item x="0"/>
        <item x="1"/>
        <item t="default"/>
      </items>
    </pivotField>
    <pivotField numFmtId="165"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dataField="1" numFmtId="165" showAll="0"/>
    <pivotField numFmtId="8" showAll="0"/>
    <pivotField numFmtId="8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9">
        <item h="1" sd="0" x="0"/>
        <item sd="0" x="1"/>
        <item sd="0" x="2"/>
        <item sd="0" x="3"/>
        <item sd="0" x="4"/>
        <item sd="0" x="5"/>
        <item sd="0" x="6"/>
        <item h="1" sd="0" x="7"/>
        <item t="default" sd="0"/>
      </items>
    </pivotField>
  </pivotFields>
  <rowFields count="1"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otal value of shares" fld="4" baseField="0" baseItem="0" numFmtId="165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536C0-F3F8-4D6E-B679-C7683B811F9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D11" firstHeaderRow="1" firstDataRow="2" firstDataCol="1"/>
  <pivotFields count="10">
    <pivotField axis="axisCol" showAll="0">
      <items count="3">
        <item x="0"/>
        <item x="1"/>
        <item t="default"/>
      </items>
    </pivotField>
    <pivotField numFmtId="165"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numFmtId="165" showAll="0"/>
    <pivotField numFmtId="8" showAll="0"/>
    <pivotField dataField="1" numFmtId="8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9">
        <item h="1" sd="0" x="0"/>
        <item sd="0" x="1"/>
        <item sd="0" x="2"/>
        <item sd="0" x="3"/>
        <item sd="0" x="4"/>
        <item sd="0" x="5"/>
        <item sd="0" x="6"/>
        <item h="1" sd="0" x="7"/>
        <item t="default" sd="0"/>
      </items>
    </pivotField>
  </pivotFields>
  <rowFields count="1"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Net Profit" fld="6" baseField="0" baseItem="0" numFmtId="8"/>
  </dataFields>
  <chartFormats count="4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9F9F19-D986-41C5-B732-0CB40E89E8DB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1" firstHeaderRow="1" firstDataRow="2" firstDataCol="1"/>
  <pivotFields count="11">
    <pivotField axis="axisCol" showAll="0">
      <items count="3">
        <item x="0"/>
        <item x="1"/>
        <item t="default"/>
      </items>
    </pivotField>
    <pivotField numFmtId="165" showAll="0"/>
    <pivotField showAll="0"/>
    <pivotField numFmtId="164" showAll="0">
      <items count="7">
        <item x="0"/>
        <item x="1"/>
        <item x="2"/>
        <item x="3"/>
        <item x="4"/>
        <item x="5"/>
        <item t="default"/>
      </items>
    </pivotField>
    <pivotField numFmtId="165" showAll="0"/>
    <pivotField numFmtId="8" showAll="0"/>
    <pivotField numFmtId="8" showAll="0"/>
    <pivotField dataField="1" numFmtId="9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ROI" fld="7" baseField="10" baseItem="1" numFmtId="9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4444-C14E-40F6-81DC-B86777A5B184}">
  <dimension ref="A1"/>
  <sheetViews>
    <sheetView tabSelected="1" workbookViewId="0">
      <selection activeCell="J17" sqref="J17"/>
    </sheetView>
  </sheetViews>
  <sheetFormatPr defaultRowHeight="13.8" x14ac:dyDescent="0.25"/>
  <cols>
    <col min="1" max="16384" width="8.796875" style="19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4EB9-76E7-4D95-980F-A69C9782BF3E}">
  <dimension ref="A3:H15"/>
  <sheetViews>
    <sheetView workbookViewId="0">
      <selection activeCell="E7" sqref="E7"/>
    </sheetView>
  </sheetViews>
  <sheetFormatPr defaultRowHeight="13.8" x14ac:dyDescent="0.25"/>
  <cols>
    <col min="2" max="2" width="25.09765625" bestFit="1" customWidth="1"/>
    <col min="3" max="3" width="15.19921875" bestFit="1" customWidth="1"/>
    <col min="4" max="4" width="11.09765625" bestFit="1" customWidth="1"/>
    <col min="5" max="5" width="17.8984375" bestFit="1" customWidth="1"/>
    <col min="6" max="6" width="20.69921875" bestFit="1" customWidth="1"/>
    <col min="7" max="7" width="24.5" bestFit="1" customWidth="1"/>
    <col min="8" max="13" width="11.19921875" bestFit="1" customWidth="1"/>
  </cols>
  <sheetData>
    <row r="3" spans="1:8" x14ac:dyDescent="0.25">
      <c r="A3" s="5" t="s">
        <v>19</v>
      </c>
      <c r="B3" s="1" t="s">
        <v>0</v>
      </c>
      <c r="C3" s="1" t="s">
        <v>3</v>
      </c>
      <c r="D3" s="1" t="s">
        <v>1</v>
      </c>
      <c r="E3" s="1" t="s">
        <v>2</v>
      </c>
      <c r="F3" s="1" t="s">
        <v>5</v>
      </c>
      <c r="G3" s="1" t="s">
        <v>4</v>
      </c>
      <c r="H3" s="1" t="s">
        <v>21</v>
      </c>
    </row>
    <row r="4" spans="1:8" x14ac:dyDescent="0.25">
      <c r="A4" s="7" t="s">
        <v>9</v>
      </c>
      <c r="B4" s="8">
        <v>25.93</v>
      </c>
      <c r="C4" s="9">
        <v>2000</v>
      </c>
      <c r="D4" s="10">
        <v>44270</v>
      </c>
      <c r="E4" s="11">
        <f t="shared" ref="E4:E15" si="0">B4*C4</f>
        <v>51860</v>
      </c>
      <c r="F4" s="12">
        <v>0</v>
      </c>
      <c r="G4" s="12">
        <v>0</v>
      </c>
      <c r="H4" s="20">
        <f>G4/E4</f>
        <v>0</v>
      </c>
    </row>
    <row r="5" spans="1:8" x14ac:dyDescent="0.25">
      <c r="A5" s="7" t="s">
        <v>9</v>
      </c>
      <c r="B5" s="8">
        <v>31.21</v>
      </c>
      <c r="C5" s="9">
        <v>2000</v>
      </c>
      <c r="D5" s="10">
        <v>44634</v>
      </c>
      <c r="E5" s="11">
        <f t="shared" si="0"/>
        <v>62420</v>
      </c>
      <c r="F5" s="12">
        <f>E5-E4</f>
        <v>10560</v>
      </c>
      <c r="G5" s="12">
        <f>E5-E4</f>
        <v>10560</v>
      </c>
      <c r="H5" s="20">
        <f>G5/E4</f>
        <v>0.20362514462013112</v>
      </c>
    </row>
    <row r="6" spans="1:8" x14ac:dyDescent="0.25">
      <c r="A6" s="7" t="s">
        <v>9</v>
      </c>
      <c r="B6" s="8">
        <v>28.28</v>
      </c>
      <c r="C6" s="9">
        <v>2000</v>
      </c>
      <c r="D6" s="10">
        <v>44998</v>
      </c>
      <c r="E6" s="11">
        <f t="shared" si="0"/>
        <v>56560</v>
      </c>
      <c r="F6" s="12">
        <f>E6-E5</f>
        <v>-5860</v>
      </c>
      <c r="G6" s="12">
        <f>E6-E4</f>
        <v>4700</v>
      </c>
      <c r="H6" s="20">
        <f>G6/E4</f>
        <v>9.0628615503278054E-2</v>
      </c>
    </row>
    <row r="7" spans="1:8" x14ac:dyDescent="0.25">
      <c r="A7" s="7" t="s">
        <v>9</v>
      </c>
      <c r="B7" s="8">
        <v>34.76</v>
      </c>
      <c r="C7" s="9">
        <v>2000</v>
      </c>
      <c r="D7" s="10">
        <v>45369</v>
      </c>
      <c r="E7" s="11">
        <f t="shared" si="0"/>
        <v>69520</v>
      </c>
      <c r="F7" s="12">
        <f>E7-E6</f>
        <v>12960</v>
      </c>
      <c r="G7" s="12">
        <f>E7-E4</f>
        <v>17660</v>
      </c>
      <c r="H7" s="20">
        <f>G7/E4</f>
        <v>0.34053220208252988</v>
      </c>
    </row>
    <row r="8" spans="1:8" x14ac:dyDescent="0.25">
      <c r="A8" s="7" t="s">
        <v>9</v>
      </c>
      <c r="B8" s="8">
        <v>33.18</v>
      </c>
      <c r="C8" s="9">
        <v>2000</v>
      </c>
      <c r="D8" s="10">
        <v>45733</v>
      </c>
      <c r="E8" s="11">
        <f t="shared" si="0"/>
        <v>66360</v>
      </c>
      <c r="F8" s="12">
        <f>E8-E7</f>
        <v>-3160</v>
      </c>
      <c r="G8" s="12">
        <f>E8-E4</f>
        <v>14500</v>
      </c>
      <c r="H8" s="20">
        <f>G8/E4</f>
        <v>0.27959892016968763</v>
      </c>
    </row>
    <row r="9" spans="1:8" x14ac:dyDescent="0.25">
      <c r="A9" s="7" t="s">
        <v>9</v>
      </c>
      <c r="B9" s="8">
        <v>47.06</v>
      </c>
      <c r="C9" s="9">
        <v>2000</v>
      </c>
      <c r="D9" s="10">
        <v>46097</v>
      </c>
      <c r="E9" s="11">
        <f t="shared" si="0"/>
        <v>94120</v>
      </c>
      <c r="F9" s="12">
        <f>E9-E8</f>
        <v>27760</v>
      </c>
      <c r="G9" s="12">
        <f>E9-E4</f>
        <v>42260</v>
      </c>
      <c r="H9" s="20">
        <f>G9/E4</f>
        <v>0.81488623216351719</v>
      </c>
    </row>
    <row r="10" spans="1:8" x14ac:dyDescent="0.25">
      <c r="A10" s="13" t="s">
        <v>10</v>
      </c>
      <c r="B10" s="14">
        <v>24.52</v>
      </c>
      <c r="C10" s="15">
        <v>2000</v>
      </c>
      <c r="D10" s="16">
        <v>44270</v>
      </c>
      <c r="E10" s="17">
        <f t="shared" si="0"/>
        <v>49040</v>
      </c>
      <c r="F10" s="18">
        <v>0</v>
      </c>
      <c r="G10" s="18">
        <v>0</v>
      </c>
      <c r="H10" s="21">
        <v>0</v>
      </c>
    </row>
    <row r="11" spans="1:8" x14ac:dyDescent="0.25">
      <c r="A11" s="13" t="s">
        <v>10</v>
      </c>
      <c r="B11" s="14">
        <v>23.66</v>
      </c>
      <c r="C11" s="15">
        <v>2000</v>
      </c>
      <c r="D11" s="16">
        <v>44634</v>
      </c>
      <c r="E11" s="17">
        <f t="shared" si="0"/>
        <v>47320</v>
      </c>
      <c r="F11" s="18">
        <f>E11-E10</f>
        <v>-1720</v>
      </c>
      <c r="G11" s="18">
        <f>E11-E10</f>
        <v>-1720</v>
      </c>
      <c r="H11" s="21">
        <f>G11/E10</f>
        <v>-3.507340946166395E-2</v>
      </c>
    </row>
    <row r="12" spans="1:8" x14ac:dyDescent="0.25">
      <c r="A12" s="13" t="s">
        <v>10</v>
      </c>
      <c r="B12" s="14">
        <v>21.24</v>
      </c>
      <c r="C12" s="15">
        <v>2000</v>
      </c>
      <c r="D12" s="16">
        <v>44998</v>
      </c>
      <c r="E12" s="17">
        <f t="shared" si="0"/>
        <v>42480</v>
      </c>
      <c r="F12" s="18">
        <f>E12-E11</f>
        <v>-4840</v>
      </c>
      <c r="G12" s="18">
        <f>E12-E10</f>
        <v>-6560</v>
      </c>
      <c r="H12" s="21">
        <f>G12/E10</f>
        <v>-0.13376835236541598</v>
      </c>
    </row>
    <row r="13" spans="1:8" x14ac:dyDescent="0.25">
      <c r="A13" s="13" t="s">
        <v>10</v>
      </c>
      <c r="B13" s="14">
        <v>26.47</v>
      </c>
      <c r="C13" s="15">
        <v>2000</v>
      </c>
      <c r="D13" s="16">
        <v>45369</v>
      </c>
      <c r="E13" s="17">
        <f t="shared" si="0"/>
        <v>52940</v>
      </c>
      <c r="F13" s="18">
        <f>E13-E12</f>
        <v>10460</v>
      </c>
      <c r="G13" s="18">
        <f>E13-E10</f>
        <v>3900</v>
      </c>
      <c r="H13" s="21">
        <f>G13/E10</f>
        <v>7.952691680261012E-2</v>
      </c>
    </row>
    <row r="14" spans="1:8" x14ac:dyDescent="0.25">
      <c r="A14" s="13" t="s">
        <v>10</v>
      </c>
      <c r="B14" s="14">
        <v>30.74</v>
      </c>
      <c r="C14" s="15">
        <v>2000</v>
      </c>
      <c r="D14" s="16">
        <v>45733</v>
      </c>
      <c r="E14" s="17">
        <f t="shared" si="0"/>
        <v>61480</v>
      </c>
      <c r="F14" s="18">
        <f>E14-E13</f>
        <v>8540</v>
      </c>
      <c r="G14" s="18">
        <f>E14-E10</f>
        <v>12440</v>
      </c>
      <c r="H14" s="21">
        <f>G14/E10</f>
        <v>0.2536704730831974</v>
      </c>
    </row>
    <row r="15" spans="1:8" x14ac:dyDescent="0.25">
      <c r="A15" s="13" t="s">
        <v>10</v>
      </c>
      <c r="B15" s="14">
        <v>40.92</v>
      </c>
      <c r="C15" s="15">
        <v>2000</v>
      </c>
      <c r="D15" s="16">
        <v>46097</v>
      </c>
      <c r="E15" s="17">
        <f t="shared" si="0"/>
        <v>81840</v>
      </c>
      <c r="F15" s="18">
        <f>E15-E14</f>
        <v>20360</v>
      </c>
      <c r="G15" s="18">
        <f>E15-E10</f>
        <v>32800</v>
      </c>
      <c r="H15" s="21">
        <f>F15/E10</f>
        <v>0.41517128874388254</v>
      </c>
    </row>
  </sheetData>
  <sortState xmlns:xlrd2="http://schemas.microsoft.com/office/spreadsheetml/2017/richdata2" ref="A4:G15">
    <sortCondition ref="A4:A15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12BA6-CD63-4388-8275-722758A1FE2C}">
  <dimension ref="A3:D11"/>
  <sheetViews>
    <sheetView workbookViewId="0">
      <selection activeCell="B8" sqref="B8"/>
    </sheetView>
  </sheetViews>
  <sheetFormatPr defaultRowHeight="13.8" x14ac:dyDescent="0.25"/>
  <cols>
    <col min="1" max="1" width="21.19921875" bestFit="1" customWidth="1"/>
    <col min="2" max="2" width="16.09765625" bestFit="1" customWidth="1"/>
    <col min="3" max="3" width="7.3984375" bestFit="1" customWidth="1"/>
    <col min="4" max="4" width="11" bestFit="1" customWidth="1"/>
  </cols>
  <sheetData>
    <row r="3" spans="1:4" x14ac:dyDescent="0.25">
      <c r="A3" s="2" t="s">
        <v>17</v>
      </c>
      <c r="B3" s="2" t="s">
        <v>8</v>
      </c>
    </row>
    <row r="4" spans="1:4" x14ac:dyDescent="0.25">
      <c r="A4" s="2" t="s">
        <v>6</v>
      </c>
      <c r="B4" t="s">
        <v>9</v>
      </c>
      <c r="C4" t="s">
        <v>10</v>
      </c>
      <c r="D4" t="s">
        <v>7</v>
      </c>
    </row>
    <row r="5" spans="1:4" x14ac:dyDescent="0.25">
      <c r="A5" s="3" t="s">
        <v>11</v>
      </c>
      <c r="B5" s="4">
        <v>25.93</v>
      </c>
      <c r="C5" s="4">
        <v>24.52</v>
      </c>
      <c r="D5" s="4">
        <v>50.45</v>
      </c>
    </row>
    <row r="6" spans="1:4" x14ac:dyDescent="0.25">
      <c r="A6" s="3" t="s">
        <v>12</v>
      </c>
      <c r="B6" s="4">
        <v>31.21</v>
      </c>
      <c r="C6" s="4">
        <v>23.66</v>
      </c>
      <c r="D6" s="4">
        <v>54.870000000000005</v>
      </c>
    </row>
    <row r="7" spans="1:4" x14ac:dyDescent="0.25">
      <c r="A7" s="3" t="s">
        <v>13</v>
      </c>
      <c r="B7" s="4">
        <v>28.28</v>
      </c>
      <c r="C7" s="4">
        <v>21.24</v>
      </c>
      <c r="D7" s="4">
        <v>49.519999999999996</v>
      </c>
    </row>
    <row r="8" spans="1:4" x14ac:dyDescent="0.25">
      <c r="A8" s="3" t="s">
        <v>14</v>
      </c>
      <c r="B8" s="4">
        <v>34.76</v>
      </c>
      <c r="C8" s="4">
        <v>26.47</v>
      </c>
      <c r="D8" s="4">
        <v>61.23</v>
      </c>
    </row>
    <row r="9" spans="1:4" x14ac:dyDescent="0.25">
      <c r="A9" s="3" t="s">
        <v>15</v>
      </c>
      <c r="B9" s="4">
        <v>33.18</v>
      </c>
      <c r="C9" s="4">
        <v>30.74</v>
      </c>
      <c r="D9" s="4">
        <v>63.92</v>
      </c>
    </row>
    <row r="10" spans="1:4" x14ac:dyDescent="0.25">
      <c r="A10" s="3" t="s">
        <v>16</v>
      </c>
      <c r="B10" s="4">
        <v>47.06</v>
      </c>
      <c r="C10" s="4">
        <v>40.92</v>
      </c>
      <c r="D10" s="4">
        <v>87.98</v>
      </c>
    </row>
    <row r="11" spans="1:4" x14ac:dyDescent="0.25">
      <c r="A11" s="3" t="s">
        <v>7</v>
      </c>
      <c r="B11" s="4">
        <v>200.42000000000002</v>
      </c>
      <c r="C11" s="4">
        <v>167.55</v>
      </c>
      <c r="D11" s="4">
        <v>367.97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D063-A7F8-4964-BD22-BDA1325FBC91}">
  <dimension ref="A3:D11"/>
  <sheetViews>
    <sheetView workbookViewId="0">
      <selection activeCell="B7" sqref="B7"/>
    </sheetView>
  </sheetViews>
  <sheetFormatPr defaultRowHeight="13.8" x14ac:dyDescent="0.25"/>
  <cols>
    <col min="1" max="1" width="26.19921875" bestFit="1" customWidth="1"/>
    <col min="2" max="2" width="16.09765625" bestFit="1" customWidth="1"/>
    <col min="3" max="3" width="10.8984375" bestFit="1" customWidth="1"/>
    <col min="4" max="4" width="11" bestFit="1" customWidth="1"/>
    <col min="5" max="5" width="26.19921875" bestFit="1" customWidth="1"/>
    <col min="6" max="6" width="26.09765625" bestFit="1" customWidth="1"/>
    <col min="7" max="7" width="31.09765625" bestFit="1" customWidth="1"/>
  </cols>
  <sheetData>
    <row r="3" spans="1:4" x14ac:dyDescent="0.25">
      <c r="A3" s="2" t="s">
        <v>18</v>
      </c>
      <c r="B3" s="2" t="s">
        <v>8</v>
      </c>
    </row>
    <row r="4" spans="1:4" x14ac:dyDescent="0.25">
      <c r="A4" s="2" t="s">
        <v>6</v>
      </c>
      <c r="B4" t="s">
        <v>9</v>
      </c>
      <c r="C4" t="s">
        <v>10</v>
      </c>
      <c r="D4" t="s">
        <v>7</v>
      </c>
    </row>
    <row r="5" spans="1:4" x14ac:dyDescent="0.25">
      <c r="A5" s="3" t="s">
        <v>11</v>
      </c>
      <c r="B5" s="4">
        <v>51860</v>
      </c>
      <c r="C5" s="4">
        <v>49040</v>
      </c>
      <c r="D5" s="4">
        <v>100900</v>
      </c>
    </row>
    <row r="6" spans="1:4" x14ac:dyDescent="0.25">
      <c r="A6" s="3" t="s">
        <v>12</v>
      </c>
      <c r="B6" s="4">
        <v>62420</v>
      </c>
      <c r="C6" s="4">
        <v>47320</v>
      </c>
      <c r="D6" s="4">
        <v>109740</v>
      </c>
    </row>
    <row r="7" spans="1:4" x14ac:dyDescent="0.25">
      <c r="A7" s="3" t="s">
        <v>13</v>
      </c>
      <c r="B7" s="4">
        <v>56560</v>
      </c>
      <c r="C7" s="4">
        <v>42480</v>
      </c>
      <c r="D7" s="4">
        <v>99040</v>
      </c>
    </row>
    <row r="8" spans="1:4" x14ac:dyDescent="0.25">
      <c r="A8" s="3" t="s">
        <v>14</v>
      </c>
      <c r="B8" s="4">
        <v>69520</v>
      </c>
      <c r="C8" s="4">
        <v>52940</v>
      </c>
      <c r="D8" s="4">
        <v>122460</v>
      </c>
    </row>
    <row r="9" spans="1:4" x14ac:dyDescent="0.25">
      <c r="A9" s="3" t="s">
        <v>15</v>
      </c>
      <c r="B9" s="4">
        <v>66360</v>
      </c>
      <c r="C9" s="4">
        <v>61480</v>
      </c>
      <c r="D9" s="4">
        <v>127840</v>
      </c>
    </row>
    <row r="10" spans="1:4" x14ac:dyDescent="0.25">
      <c r="A10" s="3" t="s">
        <v>16</v>
      </c>
      <c r="B10" s="4">
        <v>94120</v>
      </c>
      <c r="C10" s="4">
        <v>81840</v>
      </c>
      <c r="D10" s="4">
        <v>175960</v>
      </c>
    </row>
    <row r="11" spans="1:4" x14ac:dyDescent="0.25">
      <c r="A11" s="3" t="s">
        <v>7</v>
      </c>
      <c r="B11" s="4">
        <v>400840</v>
      </c>
      <c r="C11" s="4">
        <v>335100</v>
      </c>
      <c r="D11" s="4">
        <v>735940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134D-D618-4174-B824-28B5DD57BAD9}">
  <dimension ref="A3:D11"/>
  <sheetViews>
    <sheetView workbookViewId="0">
      <selection activeCell="B6" sqref="B6"/>
    </sheetView>
  </sheetViews>
  <sheetFormatPr defaultRowHeight="13.8" x14ac:dyDescent="0.25"/>
  <cols>
    <col min="1" max="1" width="15.8984375" bestFit="1" customWidth="1"/>
    <col min="2" max="2" width="16.09765625" bestFit="1" customWidth="1"/>
    <col min="3" max="3" width="10.5" bestFit="1" customWidth="1"/>
    <col min="4" max="4" width="11.5" bestFit="1" customWidth="1"/>
    <col min="5" max="5" width="26.19921875" bestFit="1" customWidth="1"/>
    <col min="6" max="6" width="26.09765625" bestFit="1" customWidth="1"/>
    <col min="7" max="7" width="31.09765625" bestFit="1" customWidth="1"/>
  </cols>
  <sheetData>
    <row r="3" spans="1:4" x14ac:dyDescent="0.25">
      <c r="A3" s="2" t="s">
        <v>20</v>
      </c>
      <c r="B3" s="2" t="s">
        <v>8</v>
      </c>
    </row>
    <row r="4" spans="1:4" x14ac:dyDescent="0.25">
      <c r="A4" s="2" t="s">
        <v>6</v>
      </c>
      <c r="B4" t="s">
        <v>9</v>
      </c>
      <c r="C4" t="s">
        <v>10</v>
      </c>
      <c r="D4" t="s">
        <v>7</v>
      </c>
    </row>
    <row r="5" spans="1:4" x14ac:dyDescent="0.25">
      <c r="A5" s="3" t="s">
        <v>11</v>
      </c>
      <c r="B5" s="6">
        <v>0</v>
      </c>
      <c r="C5" s="6">
        <v>0</v>
      </c>
      <c r="D5" s="6">
        <v>0</v>
      </c>
    </row>
    <row r="6" spans="1:4" x14ac:dyDescent="0.25">
      <c r="A6" s="3" t="s">
        <v>12</v>
      </c>
      <c r="B6" s="6">
        <v>10560</v>
      </c>
      <c r="C6" s="6">
        <v>-1720</v>
      </c>
      <c r="D6" s="6">
        <v>8840</v>
      </c>
    </row>
    <row r="7" spans="1:4" x14ac:dyDescent="0.25">
      <c r="A7" s="3" t="s">
        <v>13</v>
      </c>
      <c r="B7" s="6">
        <v>4700</v>
      </c>
      <c r="C7" s="6">
        <v>-6560</v>
      </c>
      <c r="D7" s="6">
        <v>-1860</v>
      </c>
    </row>
    <row r="8" spans="1:4" x14ac:dyDescent="0.25">
      <c r="A8" s="3" t="s">
        <v>14</v>
      </c>
      <c r="B8" s="6">
        <v>17660</v>
      </c>
      <c r="C8" s="6">
        <v>3900</v>
      </c>
      <c r="D8" s="6">
        <v>21560</v>
      </c>
    </row>
    <row r="9" spans="1:4" x14ac:dyDescent="0.25">
      <c r="A9" s="3" t="s">
        <v>15</v>
      </c>
      <c r="B9" s="6">
        <v>14500</v>
      </c>
      <c r="C9" s="6">
        <v>12440</v>
      </c>
      <c r="D9" s="6">
        <v>26940</v>
      </c>
    </row>
    <row r="10" spans="1:4" x14ac:dyDescent="0.25">
      <c r="A10" s="3" t="s">
        <v>16</v>
      </c>
      <c r="B10" s="6">
        <v>42260</v>
      </c>
      <c r="C10" s="6">
        <v>32800</v>
      </c>
      <c r="D10" s="6">
        <v>75060</v>
      </c>
    </row>
    <row r="11" spans="1:4" x14ac:dyDescent="0.25">
      <c r="A11" s="3" t="s">
        <v>7</v>
      </c>
      <c r="B11" s="6">
        <v>89680</v>
      </c>
      <c r="C11" s="6">
        <v>40860</v>
      </c>
      <c r="D11" s="6">
        <v>130540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3672-DB8E-4A31-B1B8-B4E65B57857E}">
  <dimension ref="A3:D11"/>
  <sheetViews>
    <sheetView workbookViewId="0">
      <selection activeCell="B7" sqref="B7"/>
    </sheetView>
  </sheetViews>
  <sheetFormatPr defaultRowHeight="13.8" x14ac:dyDescent="0.25"/>
  <cols>
    <col min="1" max="1" width="13.09765625" bestFit="1" customWidth="1"/>
    <col min="2" max="2" width="16.09765625" bestFit="1" customWidth="1"/>
    <col min="3" max="3" width="5.19921875" bestFit="1" customWidth="1"/>
    <col min="4" max="4" width="11" bestFit="1" customWidth="1"/>
  </cols>
  <sheetData>
    <row r="3" spans="1:4" x14ac:dyDescent="0.25">
      <c r="A3" s="2" t="s">
        <v>22</v>
      </c>
      <c r="B3" s="2" t="s">
        <v>8</v>
      </c>
    </row>
    <row r="4" spans="1:4" x14ac:dyDescent="0.25">
      <c r="A4" s="2" t="s">
        <v>6</v>
      </c>
      <c r="B4" t="s">
        <v>9</v>
      </c>
      <c r="C4" t="s">
        <v>10</v>
      </c>
      <c r="D4" t="s">
        <v>7</v>
      </c>
    </row>
    <row r="5" spans="1:4" x14ac:dyDescent="0.25">
      <c r="A5" s="3" t="s">
        <v>11</v>
      </c>
      <c r="B5" s="22">
        <v>0</v>
      </c>
      <c r="C5" s="22">
        <v>0</v>
      </c>
      <c r="D5" s="22">
        <v>0</v>
      </c>
    </row>
    <row r="6" spans="1:4" x14ac:dyDescent="0.25">
      <c r="A6" s="3" t="s">
        <v>12</v>
      </c>
      <c r="B6" s="22">
        <v>0.20362514462013112</v>
      </c>
      <c r="C6" s="22">
        <v>-3.507340946166395E-2</v>
      </c>
      <c r="D6" s="22">
        <v>0.16855173515846716</v>
      </c>
    </row>
    <row r="7" spans="1:4" x14ac:dyDescent="0.25">
      <c r="A7" s="3" t="s">
        <v>13</v>
      </c>
      <c r="B7" s="22">
        <v>9.0628615503278054E-2</v>
      </c>
      <c r="C7" s="22">
        <v>-0.13376835236541598</v>
      </c>
      <c r="D7" s="22">
        <v>-4.3139736862137928E-2</v>
      </c>
    </row>
    <row r="8" spans="1:4" x14ac:dyDescent="0.25">
      <c r="A8" s="3" t="s">
        <v>14</v>
      </c>
      <c r="B8" s="22">
        <v>0.34053220208252988</v>
      </c>
      <c r="C8" s="22">
        <v>7.952691680261012E-2</v>
      </c>
      <c r="D8" s="22">
        <v>0.42005911888514003</v>
      </c>
    </row>
    <row r="9" spans="1:4" x14ac:dyDescent="0.25">
      <c r="A9" s="3" t="s">
        <v>15</v>
      </c>
      <c r="B9" s="22">
        <v>0.27959892016968763</v>
      </c>
      <c r="C9" s="22">
        <v>0.2536704730831974</v>
      </c>
      <c r="D9" s="22">
        <v>0.53326939325288503</v>
      </c>
    </row>
    <row r="10" spans="1:4" x14ac:dyDescent="0.25">
      <c r="A10" s="3" t="s">
        <v>16</v>
      </c>
      <c r="B10" s="22">
        <v>0.81488623216351719</v>
      </c>
      <c r="C10" s="22">
        <v>0.41517128874388254</v>
      </c>
      <c r="D10" s="22">
        <v>1.2300575209073998</v>
      </c>
    </row>
    <row r="11" spans="1:4" x14ac:dyDescent="0.25">
      <c r="A11" s="3" t="s">
        <v>7</v>
      </c>
      <c r="B11" s="22">
        <v>1.7292711145391437</v>
      </c>
      <c r="C11" s="22">
        <v>0.57952691680261015</v>
      </c>
      <c r="D11" s="22">
        <v>2.308798031341754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Stock Value</vt:lpstr>
      <vt:lpstr>Pivot table 1</vt:lpstr>
      <vt:lpstr>Pivot table 2</vt:lpstr>
      <vt:lpstr>Pivot table 3</vt:lpstr>
      <vt:lpstr>Pivot 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Bùi</dc:creator>
  <cp:lastModifiedBy>Huy Bùi</cp:lastModifiedBy>
  <dcterms:created xsi:type="dcterms:W3CDTF">2026-03-16T07:44:22Z</dcterms:created>
  <dcterms:modified xsi:type="dcterms:W3CDTF">2026-03-17T08:06:40Z</dcterms:modified>
</cp:coreProperties>
</file>